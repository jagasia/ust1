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UST\Batch1_Apr2023\Project\"/>
    </mc:Choice>
  </mc:AlternateContent>
  <xr:revisionPtr revIDLastSave="0" documentId="13_ncr:1_{5D3D840B-7AE2-4DD2-8D1E-F42376915DBB}" xr6:coauthVersionLast="46" xr6:coauthVersionMax="47" xr10:uidLastSave="{00000000-0000-0000-0000-000000000000}"/>
  <bookViews>
    <workbookView xWindow="-108" yWindow="-108" windowWidth="23256" windowHeight="12720" xr2:uid="{1D142583-5EB2-4B24-841E-90261AB3BE14}"/>
  </bookViews>
  <sheets>
    <sheet name="Final Batch with projects" sheetId="2" r:id="rId1"/>
    <sheet name="Trainer Alocation to projects" sheetId="3" r:id="rId2"/>
    <sheet name="deliveberals for Foundation" sheetId="4" r:id="rId3"/>
  </sheets>
  <definedNames>
    <definedName name="_xlnm._FilterDatabase" localSheetId="0" hidden="1">'Final Batch with projects'!$A$1:$J$64</definedName>
    <definedName name="_xlnm._FilterDatabase" localSheetId="1" hidden="1">'Trainer Alocation to projects'!$A$1:$C$16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8" i="2"/>
  <c r="I11" i="2"/>
  <c r="I14" i="2"/>
  <c r="I17" i="2"/>
  <c r="I20" i="2"/>
  <c r="I23" i="2"/>
  <c r="I26" i="2"/>
  <c r="I29" i="2"/>
  <c r="I32" i="2"/>
  <c r="I35" i="2"/>
  <c r="I38" i="2"/>
  <c r="I41" i="2"/>
  <c r="I44" i="2"/>
  <c r="I47" i="2"/>
  <c r="I50" i="2"/>
  <c r="I53" i="2"/>
  <c r="I56" i="2"/>
  <c r="I59" i="2"/>
  <c r="I62" i="2"/>
  <c r="I2" i="2"/>
</calcChain>
</file>

<file path=xl/sharedStrings.xml><?xml version="1.0" encoding="utf-8"?>
<sst xmlns="http://schemas.openxmlformats.org/spreadsheetml/2006/main" count="492" uniqueCount="210">
  <si>
    <t>reenu.rachelthomas@ust.com</t>
  </si>
  <si>
    <t>Reenu Rachel Thomas</t>
  </si>
  <si>
    <t>JAVA</t>
  </si>
  <si>
    <t>munish.kumar@ust.com</t>
  </si>
  <si>
    <t>Munish Kumar</t>
  </si>
  <si>
    <t>akhila.madhavan@ust.com</t>
  </si>
  <si>
    <t>Akhila Madhavan</t>
  </si>
  <si>
    <t>dhanya.kollanoorchery@ust.com</t>
  </si>
  <si>
    <t>Dhanya Kollanoor Chery</t>
  </si>
  <si>
    <t>antu.jilson@ust.com</t>
  </si>
  <si>
    <t>Antu Jilson</t>
  </si>
  <si>
    <t>anson.alosious@ust.com</t>
  </si>
  <si>
    <t>Anson Alosious</t>
  </si>
  <si>
    <t>joseph.james1@ust.com</t>
  </si>
  <si>
    <t>Joseph James</t>
  </si>
  <si>
    <t>abhiram.ezhumavilinduchudan@ust.com</t>
  </si>
  <si>
    <t>Abhiram Ezhumavil Induchudan</t>
  </si>
  <si>
    <t>ganga.kannanmanikantan@ust.com</t>
  </si>
  <si>
    <t>Ganga Kannan Manikantan</t>
  </si>
  <si>
    <t>niranj.rajesh@ust.com</t>
  </si>
  <si>
    <t>Niranj Rajesh</t>
  </si>
  <si>
    <t>vivekkumar.padinjareveettil@ust.com</t>
  </si>
  <si>
    <t>Vivek Kumar Padinjare Veettil</t>
  </si>
  <si>
    <t>shafna.km@ust.com</t>
  </si>
  <si>
    <t>SHAFNA K M</t>
  </si>
  <si>
    <t>feril.john@ust.com</t>
  </si>
  <si>
    <t>Feril john</t>
  </si>
  <si>
    <t>yadukrishnan.j@ust.com</t>
  </si>
  <si>
    <t>Yadukrishnan J</t>
  </si>
  <si>
    <t>pallavi.mencherypradeep@ust.com</t>
  </si>
  <si>
    <t>Pallavi M P</t>
  </si>
  <si>
    <t>neethu.nelliparambilrathimohan@ust.com</t>
  </si>
  <si>
    <t>Neethu Nelliparambil Rathimohan</t>
  </si>
  <si>
    <t>bhagyalakshmi.suresh@ust.com</t>
  </si>
  <si>
    <t>Bhagyalakshmi Suresh</t>
  </si>
  <si>
    <t>uthara.vijayan@ust.com</t>
  </si>
  <si>
    <t>Uthara Chakkungal Vijayan</t>
  </si>
  <si>
    <t>amal.thekkelsobhanakumari@ust.com</t>
  </si>
  <si>
    <t>Amal Thekkel Sobhanakumari</t>
  </si>
  <si>
    <t>varsha.trejikumar@ust.com</t>
  </si>
  <si>
    <t>Varsha Thottathil Rejikumar</t>
  </si>
  <si>
    <t>afeefa.kollamparambilhamza@ust.com</t>
  </si>
  <si>
    <t>Afeefa Kollamparambil Hamza</t>
  </si>
  <si>
    <t>alphons.baby@ust.com</t>
  </si>
  <si>
    <t>Alphons Baby</t>
  </si>
  <si>
    <t>aleena.kuriakose@ust.com</t>
  </si>
  <si>
    <t>Aleena Kuriakose</t>
  </si>
  <si>
    <t>aiswarya.p@ust.com</t>
  </si>
  <si>
    <t>AISWARYA P</t>
  </si>
  <si>
    <t>anagha.chackokandathikudiyil@ust.com</t>
  </si>
  <si>
    <t>Anagha Chacko Kandathikudiyil</t>
  </si>
  <si>
    <t>jalaneela.kalyan@ust.com</t>
  </si>
  <si>
    <t>kalyan Jalaneela</t>
  </si>
  <si>
    <t>ken.binoy@ust.com</t>
  </si>
  <si>
    <t>Ken Binoy</t>
  </si>
  <si>
    <t>ebin.muttath@ust.com</t>
  </si>
  <si>
    <t>Ebin Muttath</t>
  </si>
  <si>
    <t>srinidhi.dinkarpai@ust.com</t>
  </si>
  <si>
    <t>Srinidhi Dinkar Pai</t>
  </si>
  <si>
    <t>abhirami.ac@ust.com</t>
  </si>
  <si>
    <t>Abhirami AC</t>
  </si>
  <si>
    <t>sidharth.sanil@ust.com</t>
  </si>
  <si>
    <t>Sidharth Ayyappan Sanil</t>
  </si>
  <si>
    <t>anagha.vijayan@ust.com</t>
  </si>
  <si>
    <t>Anagha Vijayan</t>
  </si>
  <si>
    <t>fibin.pious@ust.com</t>
  </si>
  <si>
    <t>Fibin Pious</t>
  </si>
  <si>
    <t>rohith.raju@ust.com</t>
  </si>
  <si>
    <t>Rohith Raju</t>
  </si>
  <si>
    <t>sidharth.pk@ust.com</t>
  </si>
  <si>
    <t>Sidharth p k</t>
  </si>
  <si>
    <t>akshara.sajeevan@ust.com</t>
  </si>
  <si>
    <t>Akshara Sajeevan</t>
  </si>
  <si>
    <t>arusha.james@ust.com</t>
  </si>
  <si>
    <t>Arusha Ann James</t>
  </si>
  <si>
    <t>divya.sobhakumarinair@ust.com</t>
  </si>
  <si>
    <t>Divya Sobha Kumari Nair</t>
  </si>
  <si>
    <t>ajayakrishnan.j@ust.com</t>
  </si>
  <si>
    <t>Ajayakrishnan J</t>
  </si>
  <si>
    <t>charusree.k@ust.com</t>
  </si>
  <si>
    <t>Charusree K</t>
  </si>
  <si>
    <t>ashwin.ckocheril@ust.com</t>
  </si>
  <si>
    <t>Ashwin C Kocheril</t>
  </si>
  <si>
    <t>shyma.paul@ust.com</t>
  </si>
  <si>
    <t>SHYMA PAUL</t>
  </si>
  <si>
    <t>ancy.pachenkunju@ust.com</t>
  </si>
  <si>
    <t>Ancy P Achenkunju</t>
  </si>
  <si>
    <t>ashna.shamsudeen@ust.com</t>
  </si>
  <si>
    <t>Ashna Shamsudeen</t>
  </si>
  <si>
    <t>anagha.biju@ust.com</t>
  </si>
  <si>
    <t>Anagha biju</t>
  </si>
  <si>
    <t>abin.james@ust.com</t>
  </si>
  <si>
    <t>Abin James</t>
  </si>
  <si>
    <t>ajay.cm@ust.com</t>
  </si>
  <si>
    <t>Ajay C M</t>
  </si>
  <si>
    <t>tony.kurian1@ust.com</t>
  </si>
  <si>
    <t>Tony Kurian</t>
  </si>
  <si>
    <t>vishnu.kumarh@ust.com</t>
  </si>
  <si>
    <t>Vishnu Kumar H</t>
  </si>
  <si>
    <t>arathi.kannanranjitha@ust.com</t>
  </si>
  <si>
    <t>Arathi Kannan Ranjitha</t>
  </si>
  <si>
    <t>lekshmy.madhusudanan@ust.com</t>
  </si>
  <si>
    <t>LEKSHMY M</t>
  </si>
  <si>
    <t>akhila.joy@ust.com</t>
  </si>
  <si>
    <t>Akhila Joy</t>
  </si>
  <si>
    <t>ashwin.ashok@ust.com</t>
  </si>
  <si>
    <t>Ashwin Ashok</t>
  </si>
  <si>
    <t>karthik.venukumar@ust.com</t>
  </si>
  <si>
    <t>KARTHIK VENUKUMAR</t>
  </si>
  <si>
    <t>mufeed.unniyengal@ust.com</t>
  </si>
  <si>
    <t>Mufeed Unniyengal</t>
  </si>
  <si>
    <t>anakha.parameswaransreekumari@ust.com</t>
  </si>
  <si>
    <t>Anakha Parameswaran Sreekumari</t>
  </si>
  <si>
    <t>athira.radhakrishnan2@ust.com</t>
  </si>
  <si>
    <t>Athira Radhakrishnan</t>
  </si>
  <si>
    <t>uma.am@ust.com</t>
  </si>
  <si>
    <t>Uma A M</t>
  </si>
  <si>
    <t>aswin.ranjithtr@ust.com</t>
  </si>
  <si>
    <t>Aswin Ranjith T R</t>
  </si>
  <si>
    <t>ansiya.salam@ust.com</t>
  </si>
  <si>
    <t>Ansiya Salam</t>
  </si>
  <si>
    <t>abitha.baby@ust.com</t>
  </si>
  <si>
    <t>Abitha Baby</t>
  </si>
  <si>
    <t>nawal.asiyaat@ust.com</t>
  </si>
  <si>
    <t>nawal Asiya AT</t>
  </si>
  <si>
    <t>rejin.mathews@ust.com</t>
  </si>
  <si>
    <t>Rejin Mathews</t>
  </si>
  <si>
    <t>Email</t>
  </si>
  <si>
    <t>UID</t>
  </si>
  <si>
    <t>Name</t>
  </si>
  <si>
    <t>Stream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</si>
  <si>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</si>
  <si>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</si>
  <si>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</si>
  <si>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</si>
  <si>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</si>
  <si>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</si>
  <si>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</si>
  <si>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</si>
  <si>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</si>
  <si>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</si>
  <si>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</si>
  <si>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</si>
  <si>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</si>
  <si>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</si>
  <si>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</si>
  <si>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Batch 16</t>
  </si>
  <si>
    <t>Batch 17</t>
  </si>
  <si>
    <t>Batch 18</t>
  </si>
  <si>
    <t>Batch 19</t>
  </si>
  <si>
    <t>Batch 20</t>
  </si>
  <si>
    <t>Batch 21</t>
  </si>
  <si>
    <t>batch 1</t>
  </si>
  <si>
    <t>batch 2</t>
  </si>
  <si>
    <t>Nos</t>
  </si>
  <si>
    <t>Trainer Name</t>
  </si>
  <si>
    <t>Project Name</t>
  </si>
  <si>
    <t>Description</t>
  </si>
  <si>
    <t>Daily Events Tracker Application</t>
  </si>
  <si>
    <t>Music Listing and Rating Application</t>
  </si>
  <si>
    <t>Admin  -add, edit, delete, view audio details​
User – view audio details, search, view rating, add rating</t>
  </si>
  <si>
    <t>Restaurant Management Application</t>
  </si>
  <si>
    <t>The Admin can add/view/update/delete the food/menu details
The user can view the menu Details​/order/rate/search menu</t>
  </si>
  <si>
    <t>Doctors Listing and Appointment Application</t>
  </si>
  <si>
    <t>Admin can Add/Update/Delete/View Doctors 
User list doctors/Search/Rate/book appointment</t>
  </si>
  <si>
    <t>E-Learning Platform</t>
  </si>
  <si>
    <t>Bus Ticket Booking Application</t>
  </si>
  <si>
    <t>Project management Application</t>
  </si>
  <si>
    <t>Admin-can add/update/list/ delete  project and task​
user can see the task assigned to him/search task/ update status/ add comments.</t>
  </si>
  <si>
    <t>Online Shopping Management System</t>
  </si>
  <si>
    <t>Admin can do crud on the Products details.​
User can view the products ,add products to the cart and delete the product from the cart and rate product</t>
  </si>
  <si>
    <t xml:space="preserve"> The program will accept the Parcel details from the console
The user sees the list of his parcel, track current location, search parcel,request call back
Admin can Add parcel details​/View parcel list​/Delete/Update parcel​</t>
  </si>
  <si>
    <t>Online Food Ordering Application  </t>
  </si>
  <si>
    <t xml:space="preserve">The program will accept the Order details from the User​
The Admin Add/View/Update the Order details.​ 
The Kitchen staff should be able to see the order assingned to them, update the order status, search the order </t>
  </si>
  <si>
    <t>Movie Listing and Rating Application</t>
  </si>
  <si>
    <t>Admin can add/view/update/deletemovies
User :- view movie list/search by movie name &amp; release date/ view rating/add rating</t>
  </si>
  <si>
    <t>Bug Tracker Application</t>
  </si>
  <si>
    <t>Weather Forecasting Application</t>
  </si>
  <si>
    <t>Online Book Store Application</t>
  </si>
  <si>
    <t>Employee Management Application</t>
  </si>
  <si>
    <t xml:space="preserve"> The program will accept the Employee &amp; project details from the console ​
The Admin can Add/View/Update Employee Details
User can view his details and update details like addresss/personal info, apply for project, provide feed back/write comments for his project
</t>
  </si>
  <si>
    <t>Admin :- Add Task/View Task​/Update Task​/Delete Task​
User - Search Task/update the status of the task, add comments ​</t>
  </si>
  <si>
    <t xml:space="preserve"> The program will accept the course and booking for a course 
Admin can Add/View/Update/Delete the course details​
User can view courses, search course, rate and register for the course​</t>
  </si>
  <si>
    <t>1. The program will accept the Bus &amp; Booking Details from the console​
2. Admin can Add/View/Update/Delete Bus details​ and number of tickects available for a specific date. 
Make an Assumption when bus is created, auto create tickets for next 3 days
3. User can Book/View/Cancel the tickets/ search bus</t>
  </si>
  <si>
    <t>Parcel booking and Tracker Application</t>
  </si>
  <si>
    <t xml:space="preserve"> The program will accept Bugs for different projects
Admin - crud on the bugs
The user then can search for a Bug based on name, Project and Status​. The user can update the status of the Bug  
 The user should be able to view all the Bugs raised under his name and Bugs in a Project​</t>
  </si>
  <si>
    <t xml:space="preserve"> The program will accept the weather forecasting details from the admin​
Each forecasting will have these info {Temperature,Pressure,Humidty,Datetime,Category,Modifieddate,Updatedby}​
The user then can track the forecasting using the location​, search location, mark location favourite
The admin can do all the crud operations on weather forecasting</t>
  </si>
  <si>
    <t>Admin - Add Book/Update/View/Delete
User​ - Search Book/List Book/rate book/view book ratings</t>
  </si>
  <si>
    <t>Project allocation</t>
  </si>
  <si>
    <t>Jagadeesh</t>
  </si>
  <si>
    <t>Ramanuj</t>
  </si>
  <si>
    <t>Items</t>
  </si>
  <si>
    <t>Mile Stones</t>
  </si>
  <si>
    <t xml:space="preserve">Resources </t>
  </si>
  <si>
    <t xml:space="preserve">Milestones </t>
  </si>
  <si>
    <t xml:space="preserve">Use case document </t>
  </si>
  <si>
    <t>Upload to git hub</t>
  </si>
  <si>
    <t>Foundation</t>
  </si>
  <si>
    <t>Task tracker/user stories with target dates</t>
  </si>
  <si>
    <t>Rolling</t>
  </si>
  <si>
    <t>UML diagram (use case diagram/sequence diagram)</t>
  </si>
  <si>
    <t>ER diagram</t>
  </si>
  <si>
    <t>Project structure</t>
  </si>
  <si>
    <t>Git hub</t>
  </si>
  <si>
    <t>UI wire frame/ppt of look and feel</t>
  </si>
  <si>
    <t>Api development</t>
  </si>
  <si>
    <t>Postman collection of Api</t>
  </si>
  <si>
    <t>Capstone Batch Allocation</t>
  </si>
  <si>
    <t xml:space="preserve"> Current Batch</t>
  </si>
  <si>
    <t>JAG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</si>
</sst>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2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B20D-A0CB-4F30-935F-4ED657CF55DB}">
  <sheetPr filterMode="1"/>
  <dimension ref="A1:X76"/>
  <sheetViews>
    <sheetView tabSelected="1" zoomScaleNormal="100" workbookViewId="0">
      <selection activeCell="G1" sqref="G1"/>
    </sheetView>
  </sheetViews>
  <sheetFormatPr defaultRowHeight="14.4" x14ac:dyDescent="0.3"/>
  <cols>
    <col min="1" max="1" width="4.21875" style="11" bestFit="1" customWidth="1"/>
    <col min="2" max="2" width="7" bestFit="1" customWidth="1"/>
    <col min="3" max="3" width="37.5546875" bestFit="1" customWidth="1"/>
    <col min="4" max="4" width="29.6640625" bestFit="1" customWidth="1"/>
    <col min="5" max="5" width="7.6640625" customWidth="1"/>
    <col min="6" max="6" width="14.77734375" bestFit="1" customWidth="1"/>
    <col min="7" max="7" width="7" bestFit="1" customWidth="1"/>
    <col min="8" max="8" width="37.77734375" bestFit="1" customWidth="1"/>
    <col min="9" max="9" width="252.88671875" bestFit="1" customWidth="1"/>
  </cols>
  <sheetData>
    <row r="1" spans="1:24" s="18" customFormat="1" ht="30" customHeight="1" x14ac:dyDescent="0.3">
      <c r="A1" s="8" t="s">
        <v>154</v>
      </c>
      <c r="B1" s="8" t="s">
        <v>128</v>
      </c>
      <c r="C1" s="8" t="s">
        <v>127</v>
      </c>
      <c r="D1" s="8" t="s">
        <v>129</v>
      </c>
      <c r="E1" s="8" t="s">
        <v>208</v>
      </c>
      <c r="F1" s="19" t="s">
        <v>207</v>
      </c>
      <c r="G1" s="8" t="s">
        <v>130</v>
      </c>
      <c r="H1" s="8" t="s">
        <v>188</v>
      </c>
      <c r="I1" s="9" t="s">
        <v>157</v>
      </c>
    </row>
    <row r="2" spans="1:24" x14ac:dyDescent="0.3">
      <c r="A2" s="21">
        <v>1</v>
      </c>
      <c r="B2" s="21">
        <v>249440</v>
      </c>
      <c r="C2" s="21" t="s">
        <v>81</v>
      </c>
      <c r="D2" s="21" t="s">
        <v>82</v>
      </c>
      <c r="E2" s="21" t="s">
        <v>152</v>
      </c>
      <c r="F2" s="22" t="s">
        <v>131</v>
      </c>
      <c r="G2" s="21" t="s">
        <v>2</v>
      </c>
      <c r="H2" s="23" t="s">
        <v>158</v>
      </c>
      <c r="I2" s="24" t="str">
        <f>VLOOKUP(H2,'Trainer Alocation to projects'!B:C,2,0)</f>
        <v>Admin :- Add Task/View Task​/Update Task​/Delete Task​
User - Search Task/update the status of the task, add comments ​</v>
      </c>
      <c r="J2" s="25" t="s">
        <v>209</v>
      </c>
    </row>
    <row r="3" spans="1:24" x14ac:dyDescent="0.3">
      <c r="A3" s="21">
        <v>1</v>
      </c>
      <c r="B3" s="21">
        <v>248764</v>
      </c>
      <c r="C3" s="21" t="s">
        <v>77</v>
      </c>
      <c r="D3" s="21" t="s">
        <v>78</v>
      </c>
      <c r="E3" s="21" t="s">
        <v>152</v>
      </c>
      <c r="F3" s="22" t="s">
        <v>131</v>
      </c>
      <c r="G3" s="21" t="s">
        <v>2</v>
      </c>
      <c r="H3" s="23" t="s">
        <v>158</v>
      </c>
      <c r="I3" s="24"/>
      <c r="J3" s="25" t="s">
        <v>209</v>
      </c>
    </row>
    <row r="4" spans="1:24" x14ac:dyDescent="0.3">
      <c r="A4" s="21">
        <v>1</v>
      </c>
      <c r="B4" s="21">
        <v>248761</v>
      </c>
      <c r="C4" s="21" t="s">
        <v>113</v>
      </c>
      <c r="D4" s="21" t="s">
        <v>114</v>
      </c>
      <c r="E4" s="21" t="s">
        <v>152</v>
      </c>
      <c r="F4" s="22" t="s">
        <v>131</v>
      </c>
      <c r="G4" s="21" t="s">
        <v>2</v>
      </c>
      <c r="H4" s="23" t="s">
        <v>158</v>
      </c>
      <c r="I4" s="24"/>
      <c r="J4" s="25" t="s">
        <v>209</v>
      </c>
    </row>
    <row r="5" spans="1:24" hidden="1" x14ac:dyDescent="0.3">
      <c r="A5" s="10">
        <v>2</v>
      </c>
      <c r="B5" s="10">
        <v>248726</v>
      </c>
      <c r="C5" s="10" t="s">
        <v>91</v>
      </c>
      <c r="D5" s="10" t="s">
        <v>92</v>
      </c>
      <c r="E5" s="10" t="s">
        <v>152</v>
      </c>
      <c r="F5" s="20" t="s">
        <v>132</v>
      </c>
      <c r="G5" s="10" t="s">
        <v>2</v>
      </c>
      <c r="H5" s="4" t="s">
        <v>159</v>
      </c>
      <c r="I5" s="1" t="str">
        <f>VLOOKUP(H5,'Trainer Alocation to projects'!B:C,2,0)</f>
        <v>Admin  -add, edit, delete, view audio details​
User – view audio details, search, view rating, add rating</v>
      </c>
    </row>
    <row r="6" spans="1:24" hidden="1" x14ac:dyDescent="0.3">
      <c r="A6" s="10">
        <v>2</v>
      </c>
      <c r="B6" s="10">
        <v>249394</v>
      </c>
      <c r="C6" s="10" t="s">
        <v>67</v>
      </c>
      <c r="D6" s="10" t="s">
        <v>68</v>
      </c>
      <c r="E6" s="10" t="s">
        <v>153</v>
      </c>
      <c r="F6" s="20" t="s">
        <v>132</v>
      </c>
      <c r="G6" s="10" t="s">
        <v>2</v>
      </c>
      <c r="H6" s="4" t="s">
        <v>159</v>
      </c>
      <c r="I6" s="1"/>
    </row>
    <row r="7" spans="1:24" hidden="1" x14ac:dyDescent="0.3">
      <c r="A7" s="10">
        <v>2</v>
      </c>
      <c r="B7" s="10">
        <v>248792</v>
      </c>
      <c r="C7" s="10" t="s">
        <v>107</v>
      </c>
      <c r="D7" s="10" t="s">
        <v>108</v>
      </c>
      <c r="E7" s="10" t="s">
        <v>152</v>
      </c>
      <c r="F7" s="20" t="s">
        <v>132</v>
      </c>
      <c r="G7" s="10" t="s">
        <v>2</v>
      </c>
      <c r="H7" s="4" t="s">
        <v>159</v>
      </c>
      <c r="I7" s="1"/>
      <c r="W7">
        <v>13</v>
      </c>
    </row>
    <row r="8" spans="1:24" x14ac:dyDescent="0.3">
      <c r="A8" s="21">
        <v>3</v>
      </c>
      <c r="B8" s="21">
        <v>248753</v>
      </c>
      <c r="C8" s="21" t="s">
        <v>19</v>
      </c>
      <c r="D8" s="21" t="s">
        <v>20</v>
      </c>
      <c r="E8" s="21" t="s">
        <v>152</v>
      </c>
      <c r="F8" s="22" t="s">
        <v>133</v>
      </c>
      <c r="G8" s="21" t="s">
        <v>2</v>
      </c>
      <c r="H8" s="23" t="s">
        <v>161</v>
      </c>
      <c r="I8" s="24" t="str">
        <f>VLOOKUP(H8,'Trainer Alocation to projects'!B:C,2,0)</f>
        <v>The Admin can add/view/update/delete the food/menu details
The user can view the menu Details​/order/rate/search menu</v>
      </c>
      <c r="J8" s="25" t="s">
        <v>209</v>
      </c>
      <c r="W8">
        <v>10</v>
      </c>
      <c r="X8">
        <v>3</v>
      </c>
    </row>
    <row r="9" spans="1:24" x14ac:dyDescent="0.3">
      <c r="A9" s="21">
        <v>3</v>
      </c>
      <c r="B9" s="21">
        <v>248803</v>
      </c>
      <c r="C9" s="21" t="s">
        <v>69</v>
      </c>
      <c r="D9" s="21" t="s">
        <v>70</v>
      </c>
      <c r="E9" s="21" t="s">
        <v>153</v>
      </c>
      <c r="F9" s="22" t="s">
        <v>133</v>
      </c>
      <c r="G9" s="21" t="s">
        <v>2</v>
      </c>
      <c r="H9" s="23" t="s">
        <v>161</v>
      </c>
      <c r="I9" s="24"/>
      <c r="J9" s="25" t="s">
        <v>209</v>
      </c>
    </row>
    <row r="10" spans="1:24" x14ac:dyDescent="0.3">
      <c r="A10" s="21">
        <v>3</v>
      </c>
      <c r="B10" s="21">
        <v>248742</v>
      </c>
      <c r="C10" s="21" t="s">
        <v>121</v>
      </c>
      <c r="D10" s="21" t="s">
        <v>122</v>
      </c>
      <c r="E10" s="21" t="s">
        <v>153</v>
      </c>
      <c r="F10" s="22" t="s">
        <v>133</v>
      </c>
      <c r="G10" s="21" t="s">
        <v>2</v>
      </c>
      <c r="H10" s="23" t="s">
        <v>161</v>
      </c>
      <c r="I10" s="24"/>
      <c r="J10" s="25" t="s">
        <v>209</v>
      </c>
    </row>
    <row r="11" spans="1:24" hidden="1" x14ac:dyDescent="0.3">
      <c r="A11" s="10">
        <v>4</v>
      </c>
      <c r="B11" s="10">
        <v>249528</v>
      </c>
      <c r="C11" s="10" t="s">
        <v>53</v>
      </c>
      <c r="D11" s="10" t="s">
        <v>54</v>
      </c>
      <c r="E11" s="10" t="s">
        <v>152</v>
      </c>
      <c r="F11" s="20" t="s">
        <v>134</v>
      </c>
      <c r="G11" s="10" t="s">
        <v>2</v>
      </c>
      <c r="H11" s="4" t="s">
        <v>163</v>
      </c>
      <c r="I11" s="1" t="str">
        <f>VLOOKUP(H11,'Trainer Alocation to projects'!B:C,2,0)</f>
        <v>Admin can Add/Update/Delete/View Doctors 
User list doctors/Search/Rate/book appointment</v>
      </c>
    </row>
    <row r="12" spans="1:24" hidden="1" x14ac:dyDescent="0.3">
      <c r="A12" s="10">
        <v>4</v>
      </c>
      <c r="B12" s="10">
        <v>248790</v>
      </c>
      <c r="C12" s="10" t="s">
        <v>99</v>
      </c>
      <c r="D12" s="10" t="s">
        <v>100</v>
      </c>
      <c r="E12" s="10" t="s">
        <v>153</v>
      </c>
      <c r="F12" s="20" t="s">
        <v>134</v>
      </c>
      <c r="G12" s="10" t="s">
        <v>2</v>
      </c>
      <c r="H12" s="4" t="s">
        <v>163</v>
      </c>
      <c r="I12" s="1"/>
    </row>
    <row r="13" spans="1:24" hidden="1" x14ac:dyDescent="0.3">
      <c r="A13" s="10">
        <v>4</v>
      </c>
      <c r="B13" s="10">
        <v>248750</v>
      </c>
      <c r="C13" s="10" t="s">
        <v>97</v>
      </c>
      <c r="D13" s="10" t="s">
        <v>98</v>
      </c>
      <c r="E13" s="10" t="s">
        <v>152</v>
      </c>
      <c r="F13" s="20" t="s">
        <v>134</v>
      </c>
      <c r="G13" s="10" t="s">
        <v>2</v>
      </c>
      <c r="H13" s="4" t="s">
        <v>163</v>
      </c>
      <c r="I13" s="1"/>
    </row>
    <row r="14" spans="1:24" x14ac:dyDescent="0.3">
      <c r="A14" s="21">
        <v>5</v>
      </c>
      <c r="B14" s="21">
        <v>248769</v>
      </c>
      <c r="C14" s="21" t="s">
        <v>57</v>
      </c>
      <c r="D14" s="21" t="s">
        <v>58</v>
      </c>
      <c r="E14" s="21" t="s">
        <v>152</v>
      </c>
      <c r="F14" s="22" t="s">
        <v>135</v>
      </c>
      <c r="G14" s="21" t="s">
        <v>2</v>
      </c>
      <c r="H14" s="23" t="s">
        <v>165</v>
      </c>
      <c r="I14" s="24" t="str">
        <f>VLOOKUP(H14,'Trainer Alocation to projects'!B:C,2,0)</f>
        <v xml:space="preserve"> The program will accept the course and booking for a course 
Admin can Add/View/Update/Delete the course details​
User can view courses, search course, rate and register for the course​</v>
      </c>
      <c r="J14" s="25" t="s">
        <v>209</v>
      </c>
    </row>
    <row r="15" spans="1:24" x14ac:dyDescent="0.3">
      <c r="A15" s="21">
        <v>5</v>
      </c>
      <c r="B15" s="21">
        <v>249529</v>
      </c>
      <c r="C15" s="21" t="s">
        <v>47</v>
      </c>
      <c r="D15" s="21" t="s">
        <v>48</v>
      </c>
      <c r="E15" s="21" t="s">
        <v>152</v>
      </c>
      <c r="F15" s="22" t="s">
        <v>135</v>
      </c>
      <c r="G15" s="21" t="s">
        <v>2</v>
      </c>
      <c r="H15" s="23" t="s">
        <v>165</v>
      </c>
      <c r="I15" s="24"/>
      <c r="J15" s="25" t="s">
        <v>209</v>
      </c>
      <c r="W15">
        <v>7</v>
      </c>
    </row>
    <row r="16" spans="1:24" x14ac:dyDescent="0.3">
      <c r="A16" s="21">
        <v>5</v>
      </c>
      <c r="B16" s="21">
        <v>248740</v>
      </c>
      <c r="C16" s="21" t="s">
        <v>95</v>
      </c>
      <c r="D16" s="21" t="s">
        <v>96</v>
      </c>
      <c r="E16" s="21" t="s">
        <v>153</v>
      </c>
      <c r="F16" s="22" t="s">
        <v>135</v>
      </c>
      <c r="G16" s="21" t="s">
        <v>2</v>
      </c>
      <c r="H16" s="23" t="s">
        <v>165</v>
      </c>
      <c r="I16" s="24"/>
      <c r="J16" s="25" t="s">
        <v>209</v>
      </c>
    </row>
    <row r="17" spans="1:10" hidden="1" x14ac:dyDescent="0.3">
      <c r="A17" s="10">
        <v>6</v>
      </c>
      <c r="B17" s="10">
        <v>248734</v>
      </c>
      <c r="C17" s="10" t="s">
        <v>41</v>
      </c>
      <c r="D17" s="10" t="s">
        <v>42</v>
      </c>
      <c r="E17" s="10" t="s">
        <v>152</v>
      </c>
      <c r="F17" s="20" t="s">
        <v>136</v>
      </c>
      <c r="G17" s="10" t="s">
        <v>2</v>
      </c>
      <c r="H17" s="4" t="s">
        <v>166</v>
      </c>
      <c r="I17" s="1" t="str">
        <f>VLOOKUP(H17,'Trainer Alocation to projects'!B:C,2,0)</f>
        <v>1. The program will accept the Bus &amp; Booking Details from the console​
2. Admin can Add/View/Update/Delete Bus details​ and number of tickects available for a specific date. 
Make an Assumption when bus is created, auto create tickets for next 3 days
3. User can Book/View/Cancel the tickets/ search bus</v>
      </c>
    </row>
    <row r="18" spans="1:10" hidden="1" x14ac:dyDescent="0.3">
      <c r="A18" s="10">
        <v>6</v>
      </c>
      <c r="B18" s="10">
        <v>248738</v>
      </c>
      <c r="C18" s="10" t="s">
        <v>111</v>
      </c>
      <c r="D18" s="10" t="s">
        <v>112</v>
      </c>
      <c r="E18" s="10" t="s">
        <v>152</v>
      </c>
      <c r="F18" s="20" t="s">
        <v>136</v>
      </c>
      <c r="G18" s="10" t="s">
        <v>2</v>
      </c>
      <c r="H18" s="4" t="s">
        <v>166</v>
      </c>
      <c r="I18" s="1"/>
    </row>
    <row r="19" spans="1:10" hidden="1" x14ac:dyDescent="0.3">
      <c r="A19" s="10">
        <v>6</v>
      </c>
      <c r="B19" s="10">
        <v>248719</v>
      </c>
      <c r="C19" s="10" t="s">
        <v>0</v>
      </c>
      <c r="D19" s="10" t="s">
        <v>1</v>
      </c>
      <c r="E19" s="10" t="s">
        <v>152</v>
      </c>
      <c r="F19" s="20" t="s">
        <v>136</v>
      </c>
      <c r="G19" s="10" t="s">
        <v>2</v>
      </c>
      <c r="H19" s="4" t="s">
        <v>166</v>
      </c>
      <c r="I19" s="1"/>
    </row>
    <row r="20" spans="1:10" x14ac:dyDescent="0.3">
      <c r="A20" s="21">
        <v>7</v>
      </c>
      <c r="B20" s="21">
        <v>248775</v>
      </c>
      <c r="C20" s="21" t="s">
        <v>37</v>
      </c>
      <c r="D20" s="21" t="s">
        <v>38</v>
      </c>
      <c r="E20" s="21" t="s">
        <v>153</v>
      </c>
      <c r="F20" s="22" t="s">
        <v>137</v>
      </c>
      <c r="G20" s="21" t="s">
        <v>2</v>
      </c>
      <c r="H20" s="23" t="s">
        <v>167</v>
      </c>
      <c r="I20" s="24" t="str">
        <f>VLOOKUP(H20,'Trainer Alocation to projects'!B:C,2,0)</f>
        <v>Admin-can add/update/list/ delete  project and task​
user can see the task assigned to him/search task/ update status/ add comments.</v>
      </c>
      <c r="J20" s="25" t="s">
        <v>209</v>
      </c>
    </row>
    <row r="21" spans="1:10" x14ac:dyDescent="0.3">
      <c r="A21" s="21">
        <v>7</v>
      </c>
      <c r="B21" s="21">
        <v>248819</v>
      </c>
      <c r="C21" s="21" t="s">
        <v>109</v>
      </c>
      <c r="D21" s="21" t="s">
        <v>110</v>
      </c>
      <c r="E21" s="21" t="s">
        <v>152</v>
      </c>
      <c r="F21" s="22" t="s">
        <v>137</v>
      </c>
      <c r="G21" s="21" t="s">
        <v>2</v>
      </c>
      <c r="H21" s="23" t="s">
        <v>167</v>
      </c>
      <c r="I21" s="24"/>
      <c r="J21" s="25" t="s">
        <v>209</v>
      </c>
    </row>
    <row r="22" spans="1:10" x14ac:dyDescent="0.3">
      <c r="A22" s="21">
        <v>7</v>
      </c>
      <c r="B22" s="21">
        <v>248799</v>
      </c>
      <c r="C22" s="21" t="s">
        <v>117</v>
      </c>
      <c r="D22" s="21" t="s">
        <v>118</v>
      </c>
      <c r="E22" s="21" t="s">
        <v>152</v>
      </c>
      <c r="F22" s="22" t="s">
        <v>137</v>
      </c>
      <c r="G22" s="21" t="s">
        <v>2</v>
      </c>
      <c r="H22" s="23" t="s">
        <v>167</v>
      </c>
      <c r="I22" s="24"/>
      <c r="J22" s="25" t="s">
        <v>209</v>
      </c>
    </row>
    <row r="23" spans="1:10" hidden="1" x14ac:dyDescent="0.3">
      <c r="A23" s="10">
        <v>8</v>
      </c>
      <c r="B23" s="10">
        <v>249581</v>
      </c>
      <c r="C23" s="10" t="s">
        <v>59</v>
      </c>
      <c r="D23" s="10" t="s">
        <v>60</v>
      </c>
      <c r="E23" s="10" t="s">
        <v>152</v>
      </c>
      <c r="F23" s="20" t="s">
        <v>138</v>
      </c>
      <c r="G23" s="10" t="s">
        <v>2</v>
      </c>
      <c r="H23" s="4" t="s">
        <v>169</v>
      </c>
      <c r="I23" s="1" t="str">
        <f>VLOOKUP(H23,'Trainer Alocation to projects'!B:C,2,0)</f>
        <v>Admin can do crud on the Products details.​
User can view the products ,add products to the cart and delete the product from the cart and rate product</v>
      </c>
    </row>
    <row r="24" spans="1:10" hidden="1" x14ac:dyDescent="0.3">
      <c r="A24" s="10">
        <v>8</v>
      </c>
      <c r="B24" s="10">
        <v>248751</v>
      </c>
      <c r="C24" s="10" t="s">
        <v>55</v>
      </c>
      <c r="D24" s="10" t="s">
        <v>56</v>
      </c>
      <c r="E24" s="10" t="s">
        <v>153</v>
      </c>
      <c r="F24" s="20" t="s">
        <v>138</v>
      </c>
      <c r="G24" s="10" t="s">
        <v>2</v>
      </c>
      <c r="H24" s="4" t="s">
        <v>169</v>
      </c>
      <c r="I24" s="1"/>
    </row>
    <row r="25" spans="1:10" hidden="1" x14ac:dyDescent="0.3">
      <c r="A25" s="10">
        <v>8</v>
      </c>
      <c r="B25" s="10">
        <v>248825</v>
      </c>
      <c r="C25" s="10" t="s">
        <v>93</v>
      </c>
      <c r="D25" s="10" t="s">
        <v>94</v>
      </c>
      <c r="E25" s="10" t="s">
        <v>152</v>
      </c>
      <c r="F25" s="20" t="s">
        <v>138</v>
      </c>
      <c r="G25" s="10" t="s">
        <v>2</v>
      </c>
      <c r="H25" s="4" t="s">
        <v>169</v>
      </c>
      <c r="I25" s="1"/>
    </row>
    <row r="26" spans="1:10" x14ac:dyDescent="0.3">
      <c r="A26" s="21">
        <v>9</v>
      </c>
      <c r="B26" s="21">
        <v>248735</v>
      </c>
      <c r="C26" s="21" t="s">
        <v>45</v>
      </c>
      <c r="D26" s="21" t="s">
        <v>46</v>
      </c>
      <c r="E26" s="21" t="s">
        <v>152</v>
      </c>
      <c r="F26" s="22" t="s">
        <v>139</v>
      </c>
      <c r="G26" s="21" t="s">
        <v>2</v>
      </c>
      <c r="H26" s="23" t="s">
        <v>184</v>
      </c>
      <c r="I26" s="24" t="str">
        <f>VLOOKUP(H26,'Trainer Alocation to projects'!B:C,2,0)</f>
        <v xml:space="preserve"> The program will accept the Parcel details from the console
The user sees the list of his parcel, track current location, search parcel,request call back
Admin can Add parcel details​/View parcel list​/Delete/Update parcel​</v>
      </c>
      <c r="J26" s="25" t="s">
        <v>209</v>
      </c>
    </row>
    <row r="27" spans="1:10" x14ac:dyDescent="0.3">
      <c r="A27" s="21">
        <v>9</v>
      </c>
      <c r="B27" s="21">
        <v>248765</v>
      </c>
      <c r="C27" s="21" t="s">
        <v>115</v>
      </c>
      <c r="D27" s="21" t="s">
        <v>116</v>
      </c>
      <c r="E27" s="21" t="s">
        <v>152</v>
      </c>
      <c r="F27" s="22" t="s">
        <v>139</v>
      </c>
      <c r="G27" s="21" t="s">
        <v>2</v>
      </c>
      <c r="H27" s="23" t="s">
        <v>184</v>
      </c>
      <c r="I27" s="24"/>
      <c r="J27" s="25" t="s">
        <v>209</v>
      </c>
    </row>
    <row r="28" spans="1:10" x14ac:dyDescent="0.3">
      <c r="A28" s="21">
        <v>9</v>
      </c>
      <c r="B28" s="21">
        <v>248789</v>
      </c>
      <c r="C28" s="21" t="s">
        <v>105</v>
      </c>
      <c r="D28" s="21" t="s">
        <v>106</v>
      </c>
      <c r="E28" s="21" t="s">
        <v>152</v>
      </c>
      <c r="F28" s="22" t="s">
        <v>139</v>
      </c>
      <c r="G28" s="21" t="s">
        <v>2</v>
      </c>
      <c r="H28" s="23" t="s">
        <v>184</v>
      </c>
      <c r="I28" s="24"/>
      <c r="J28" s="25" t="s">
        <v>209</v>
      </c>
    </row>
    <row r="29" spans="1:10" hidden="1" x14ac:dyDescent="0.3">
      <c r="A29" s="10">
        <v>10</v>
      </c>
      <c r="B29" s="10">
        <v>248778</v>
      </c>
      <c r="C29" s="10" t="s">
        <v>61</v>
      </c>
      <c r="D29" s="10" t="s">
        <v>62</v>
      </c>
      <c r="E29" s="10" t="s">
        <v>152</v>
      </c>
      <c r="F29" s="20" t="s">
        <v>140</v>
      </c>
      <c r="G29" s="10" t="s">
        <v>2</v>
      </c>
      <c r="H29" s="4" t="s">
        <v>172</v>
      </c>
      <c r="I29" s="1" t="str">
        <f>VLOOKUP(H29,'Trainer Alocation to projects'!B:C,2,0)</f>
        <v xml:space="preserve">The program will accept the Order details from the User​
The Admin Add/View/Update the Order details.​ 
The Kitchen staff should be able to see the order assingned to them, update the order status, search the order </v>
      </c>
    </row>
    <row r="30" spans="1:10" hidden="1" x14ac:dyDescent="0.3">
      <c r="A30" s="10">
        <v>10</v>
      </c>
      <c r="B30" s="10">
        <v>249578</v>
      </c>
      <c r="C30" s="10" t="s">
        <v>125</v>
      </c>
      <c r="D30" s="10" t="s">
        <v>126</v>
      </c>
      <c r="E30" s="10" t="s">
        <v>153</v>
      </c>
      <c r="F30" s="20" t="s">
        <v>140</v>
      </c>
      <c r="G30" s="10" t="s">
        <v>2</v>
      </c>
      <c r="H30" s="4" t="s">
        <v>172</v>
      </c>
      <c r="I30" s="1"/>
    </row>
    <row r="31" spans="1:10" hidden="1" x14ac:dyDescent="0.3">
      <c r="A31" s="10">
        <v>10</v>
      </c>
      <c r="B31" s="10">
        <v>248793</v>
      </c>
      <c r="C31" s="10" t="s">
        <v>89</v>
      </c>
      <c r="D31" s="10" t="s">
        <v>90</v>
      </c>
      <c r="E31" s="10" t="s">
        <v>153</v>
      </c>
      <c r="F31" s="20" t="s">
        <v>140</v>
      </c>
      <c r="G31" s="10" t="s">
        <v>2</v>
      </c>
      <c r="H31" s="4" t="s">
        <v>172</v>
      </c>
      <c r="I31" s="1"/>
    </row>
    <row r="32" spans="1:10" x14ac:dyDescent="0.3">
      <c r="A32" s="21">
        <v>11</v>
      </c>
      <c r="B32" s="21">
        <v>248723</v>
      </c>
      <c r="C32" s="21" t="s">
        <v>5</v>
      </c>
      <c r="D32" s="21" t="s">
        <v>6</v>
      </c>
      <c r="E32" s="21" t="s">
        <v>153</v>
      </c>
      <c r="F32" s="22" t="s">
        <v>141</v>
      </c>
      <c r="G32" s="21" t="s">
        <v>2</v>
      </c>
      <c r="H32" s="23" t="s">
        <v>174</v>
      </c>
      <c r="I32" s="24" t="str">
        <f>VLOOKUP(H32,'Trainer Alocation to projects'!B:C,2,0)</f>
        <v>Admin can add/view/update/deletemovies
User :- view movie list/search by movie name &amp; release date/ view rating/add rating</v>
      </c>
      <c r="J32" s="25" t="s">
        <v>209</v>
      </c>
    </row>
    <row r="33" spans="1:10" x14ac:dyDescent="0.3">
      <c r="A33" s="21">
        <v>11</v>
      </c>
      <c r="B33" s="21">
        <v>248739</v>
      </c>
      <c r="C33" s="21" t="s">
        <v>119</v>
      </c>
      <c r="D33" s="21" t="s">
        <v>120</v>
      </c>
      <c r="E33" s="21" t="s">
        <v>153</v>
      </c>
      <c r="F33" s="22" t="s">
        <v>141</v>
      </c>
      <c r="G33" s="21" t="s">
        <v>2</v>
      </c>
      <c r="H33" s="23" t="s">
        <v>174</v>
      </c>
      <c r="I33" s="24"/>
      <c r="J33" s="25" t="s">
        <v>209</v>
      </c>
    </row>
    <row r="34" spans="1:10" x14ac:dyDescent="0.3">
      <c r="A34" s="21">
        <v>11</v>
      </c>
      <c r="B34" s="21">
        <v>249416</v>
      </c>
      <c r="C34" s="21" t="s">
        <v>87</v>
      </c>
      <c r="D34" s="21" t="s">
        <v>88</v>
      </c>
      <c r="E34" s="21" t="s">
        <v>153</v>
      </c>
      <c r="F34" s="22" t="s">
        <v>141</v>
      </c>
      <c r="G34" s="21" t="s">
        <v>2</v>
      </c>
      <c r="H34" s="23" t="s">
        <v>174</v>
      </c>
      <c r="I34" s="24"/>
      <c r="J34" s="25" t="s">
        <v>209</v>
      </c>
    </row>
    <row r="35" spans="1:10" hidden="1" x14ac:dyDescent="0.3">
      <c r="A35" s="10">
        <v>12</v>
      </c>
      <c r="B35" s="10">
        <v>248727</v>
      </c>
      <c r="C35" s="10" t="s">
        <v>9</v>
      </c>
      <c r="D35" s="10" t="s">
        <v>10</v>
      </c>
      <c r="E35" s="10" t="s">
        <v>152</v>
      </c>
      <c r="F35" s="20" t="s">
        <v>142</v>
      </c>
      <c r="G35" s="10" t="s">
        <v>2</v>
      </c>
      <c r="H35" s="4" t="s">
        <v>176</v>
      </c>
      <c r="I35" s="1" t="str">
        <f>VLOOKUP(H35,'Trainer Alocation to projects'!B:C,2,0)</f>
        <v xml:space="preserve"> The program will accept Bugs for different projects
Admin - crud on the bugs
The user then can search for a Bug based on name, Project and Status​. The user can update the status of the Bug  
 The user should be able to view all the Bugs raised under his name and Bugs in a Project​</v>
      </c>
    </row>
    <row r="36" spans="1:10" hidden="1" x14ac:dyDescent="0.3">
      <c r="A36" s="10">
        <v>12</v>
      </c>
      <c r="B36" s="10">
        <v>248730</v>
      </c>
      <c r="C36" s="10" t="s">
        <v>65</v>
      </c>
      <c r="D36" s="10" t="s">
        <v>66</v>
      </c>
      <c r="E36" s="10" t="s">
        <v>152</v>
      </c>
      <c r="F36" s="20" t="s">
        <v>142</v>
      </c>
      <c r="G36" s="10" t="s">
        <v>2</v>
      </c>
      <c r="H36" s="4" t="s">
        <v>176</v>
      </c>
      <c r="I36" s="1"/>
    </row>
    <row r="37" spans="1:10" hidden="1" x14ac:dyDescent="0.3">
      <c r="A37" s="10">
        <v>12</v>
      </c>
      <c r="B37" s="10">
        <v>249414</v>
      </c>
      <c r="C37" s="10" t="s">
        <v>85</v>
      </c>
      <c r="D37" s="10" t="s">
        <v>86</v>
      </c>
      <c r="E37" s="10" t="s">
        <v>153</v>
      </c>
      <c r="F37" s="20" t="s">
        <v>142</v>
      </c>
      <c r="G37" s="10" t="s">
        <v>2</v>
      </c>
      <c r="H37" s="4" t="s">
        <v>176</v>
      </c>
      <c r="I37" s="1"/>
    </row>
    <row r="38" spans="1:10" hidden="1" x14ac:dyDescent="0.3">
      <c r="A38" s="10">
        <v>13</v>
      </c>
      <c r="B38" s="10">
        <v>249532</v>
      </c>
      <c r="C38" s="10" t="s">
        <v>51</v>
      </c>
      <c r="D38" s="10" t="s">
        <v>52</v>
      </c>
      <c r="E38" s="10" t="s">
        <v>152</v>
      </c>
      <c r="F38" s="20" t="s">
        <v>143</v>
      </c>
      <c r="G38" s="10" t="s">
        <v>2</v>
      </c>
      <c r="H38" s="4" t="s">
        <v>178</v>
      </c>
      <c r="I38" s="1" t="str">
        <f>VLOOKUP(H38,'Trainer Alocation to projects'!B:C,2,0)</f>
        <v>Admin - Add Book/Update/View/Delete
User​ - Search Book/List Book/rate book/view book ratings</v>
      </c>
    </row>
    <row r="39" spans="1:10" hidden="1" x14ac:dyDescent="0.3">
      <c r="A39" s="10">
        <v>13</v>
      </c>
      <c r="B39" s="10">
        <v>249422</v>
      </c>
      <c r="C39" s="10" t="s">
        <v>123</v>
      </c>
      <c r="D39" s="10" t="s">
        <v>124</v>
      </c>
      <c r="E39" s="10" t="s">
        <v>153</v>
      </c>
      <c r="F39" s="20" t="s">
        <v>143</v>
      </c>
      <c r="G39" s="10" t="s">
        <v>2</v>
      </c>
      <c r="H39" s="4" t="s">
        <v>178</v>
      </c>
      <c r="I39" s="1"/>
    </row>
    <row r="40" spans="1:10" hidden="1" x14ac:dyDescent="0.3">
      <c r="A40" s="10">
        <v>13</v>
      </c>
      <c r="B40" s="10">
        <v>249387</v>
      </c>
      <c r="C40" s="10" t="s">
        <v>83</v>
      </c>
      <c r="D40" s="10" t="s">
        <v>84</v>
      </c>
      <c r="E40" s="10" t="s">
        <v>153</v>
      </c>
      <c r="F40" s="20" t="s">
        <v>143</v>
      </c>
      <c r="G40" s="10" t="s">
        <v>2</v>
      </c>
      <c r="H40" s="4" t="s">
        <v>178</v>
      </c>
      <c r="I40" s="1"/>
    </row>
    <row r="41" spans="1:10" x14ac:dyDescent="0.3">
      <c r="A41" s="21">
        <v>14</v>
      </c>
      <c r="B41" s="21">
        <v>248731</v>
      </c>
      <c r="C41" s="21" t="s">
        <v>49</v>
      </c>
      <c r="D41" s="21" t="s">
        <v>50</v>
      </c>
      <c r="E41" s="21" t="s">
        <v>152</v>
      </c>
      <c r="F41" s="22" t="s">
        <v>144</v>
      </c>
      <c r="G41" s="21" t="s">
        <v>2</v>
      </c>
      <c r="H41" s="23" t="s">
        <v>158</v>
      </c>
      <c r="I41" s="24" t="str">
        <f>VLOOKUP(H41,'Trainer Alocation to projects'!B:C,2,0)</f>
        <v>Admin :- Add Task/View Task​/Update Task​/Delete Task​
User - Search Task/update the status of the task, add comments ​</v>
      </c>
      <c r="J41" s="25" t="s">
        <v>209</v>
      </c>
    </row>
    <row r="42" spans="1:10" x14ac:dyDescent="0.3">
      <c r="A42" s="21">
        <v>14</v>
      </c>
      <c r="B42" s="21">
        <v>249175</v>
      </c>
      <c r="C42" s="21" t="s">
        <v>7</v>
      </c>
      <c r="D42" s="21" t="s">
        <v>8</v>
      </c>
      <c r="E42" s="21" t="s">
        <v>153</v>
      </c>
      <c r="F42" s="22" t="s">
        <v>144</v>
      </c>
      <c r="G42" s="21" t="s">
        <v>2</v>
      </c>
      <c r="H42" s="23" t="s">
        <v>158</v>
      </c>
      <c r="I42" s="24"/>
      <c r="J42" s="25" t="s">
        <v>209</v>
      </c>
    </row>
    <row r="43" spans="1:10" x14ac:dyDescent="0.3">
      <c r="A43" s="21">
        <v>14</v>
      </c>
      <c r="B43" s="21">
        <v>248780</v>
      </c>
      <c r="C43" s="21" t="s">
        <v>79</v>
      </c>
      <c r="D43" s="21" t="s">
        <v>80</v>
      </c>
      <c r="E43" s="21" t="s">
        <v>153</v>
      </c>
      <c r="F43" s="22" t="s">
        <v>144</v>
      </c>
      <c r="G43" s="21" t="s">
        <v>2</v>
      </c>
      <c r="H43" s="23" t="s">
        <v>158</v>
      </c>
      <c r="I43" s="24"/>
      <c r="J43" s="25" t="s">
        <v>209</v>
      </c>
    </row>
    <row r="44" spans="1:10" hidden="1" x14ac:dyDescent="0.3">
      <c r="A44" s="10">
        <v>15</v>
      </c>
      <c r="B44" s="10">
        <v>248817</v>
      </c>
      <c r="C44" s="10" t="s">
        <v>11</v>
      </c>
      <c r="D44" s="10" t="s">
        <v>12</v>
      </c>
      <c r="E44" s="10" t="s">
        <v>153</v>
      </c>
      <c r="F44" s="20" t="s">
        <v>145</v>
      </c>
      <c r="G44" s="10" t="s">
        <v>2</v>
      </c>
      <c r="H44" s="4" t="s">
        <v>159</v>
      </c>
      <c r="I44" s="1" t="str">
        <f>VLOOKUP(H44,'Trainer Alocation to projects'!B:C,2,0)</f>
        <v>Admin  -add, edit, delete, view audio details​
User – view audio details, search, view rating, add rating</v>
      </c>
    </row>
    <row r="45" spans="1:10" hidden="1" x14ac:dyDescent="0.3">
      <c r="A45" s="10">
        <v>15</v>
      </c>
      <c r="B45" s="10">
        <v>248949</v>
      </c>
      <c r="C45" s="10" t="s">
        <v>35</v>
      </c>
      <c r="D45" s="10" t="s">
        <v>36</v>
      </c>
      <c r="E45" s="10" t="s">
        <v>153</v>
      </c>
      <c r="F45" s="20" t="s">
        <v>145</v>
      </c>
      <c r="G45" s="10" t="s">
        <v>2</v>
      </c>
      <c r="H45" s="4" t="s">
        <v>159</v>
      </c>
      <c r="I45" s="1"/>
    </row>
    <row r="46" spans="1:10" hidden="1" x14ac:dyDescent="0.3">
      <c r="A46" s="10">
        <v>15</v>
      </c>
      <c r="B46" s="10">
        <v>248756</v>
      </c>
      <c r="C46" s="10" t="s">
        <v>103</v>
      </c>
      <c r="D46" s="10" t="s">
        <v>104</v>
      </c>
      <c r="E46" s="10" t="s">
        <v>153</v>
      </c>
      <c r="F46" s="20" t="s">
        <v>145</v>
      </c>
      <c r="G46" s="10" t="s">
        <v>2</v>
      </c>
      <c r="H46" s="4" t="s">
        <v>159</v>
      </c>
      <c r="I46" s="1"/>
    </row>
    <row r="47" spans="1:10" x14ac:dyDescent="0.3">
      <c r="A47" s="21">
        <v>16</v>
      </c>
      <c r="B47" s="21">
        <v>249408</v>
      </c>
      <c r="C47" s="21" t="s">
        <v>13</v>
      </c>
      <c r="D47" s="21" t="s">
        <v>14</v>
      </c>
      <c r="E47" s="21" t="s">
        <v>153</v>
      </c>
      <c r="F47" s="22" t="s">
        <v>146</v>
      </c>
      <c r="G47" s="21" t="s">
        <v>2</v>
      </c>
      <c r="H47" s="23" t="s">
        <v>161</v>
      </c>
      <c r="I47" s="24" t="str">
        <f>VLOOKUP(H47,'Trainer Alocation to projects'!B:C,2,0)</f>
        <v>The Admin can add/view/update/delete the food/menu details
The user can view the menu Details​/order/rate/search menu</v>
      </c>
      <c r="J47" s="25" t="s">
        <v>209</v>
      </c>
    </row>
    <row r="48" spans="1:10" x14ac:dyDescent="0.3">
      <c r="A48" s="21">
        <v>16</v>
      </c>
      <c r="B48" s="21">
        <v>248771</v>
      </c>
      <c r="C48" s="21" t="s">
        <v>3</v>
      </c>
      <c r="D48" s="21" t="s">
        <v>4</v>
      </c>
      <c r="E48" s="21" t="s">
        <v>152</v>
      </c>
      <c r="F48" s="22" t="s">
        <v>146</v>
      </c>
      <c r="G48" s="21" t="s">
        <v>2</v>
      </c>
      <c r="H48" s="23" t="s">
        <v>161</v>
      </c>
      <c r="I48" s="24"/>
      <c r="J48" s="25" t="s">
        <v>209</v>
      </c>
    </row>
    <row r="49" spans="1:10" x14ac:dyDescent="0.3">
      <c r="A49" s="21">
        <v>16</v>
      </c>
      <c r="B49" s="21">
        <v>248729</v>
      </c>
      <c r="C49" s="21" t="s">
        <v>75</v>
      </c>
      <c r="D49" s="21" t="s">
        <v>76</v>
      </c>
      <c r="E49" s="21" t="s">
        <v>153</v>
      </c>
      <c r="F49" s="22" t="s">
        <v>146</v>
      </c>
      <c r="G49" s="21" t="s">
        <v>2</v>
      </c>
      <c r="H49" s="23" t="s">
        <v>161</v>
      </c>
      <c r="I49" s="24"/>
      <c r="J49" s="25" t="s">
        <v>209</v>
      </c>
    </row>
    <row r="50" spans="1:10" hidden="1" x14ac:dyDescent="0.3">
      <c r="A50" s="10">
        <v>17</v>
      </c>
      <c r="B50" s="10">
        <v>249093</v>
      </c>
      <c r="C50" s="10" t="s">
        <v>15</v>
      </c>
      <c r="D50" s="10" t="s">
        <v>16</v>
      </c>
      <c r="E50" s="10" t="s">
        <v>153</v>
      </c>
      <c r="F50" s="20" t="s">
        <v>147</v>
      </c>
      <c r="G50" s="10" t="s">
        <v>2</v>
      </c>
      <c r="H50" s="4" t="s">
        <v>163</v>
      </c>
      <c r="I50" s="1" t="str">
        <f>VLOOKUP(H50,'Trainer Alocation to projects'!B:C,2,0)</f>
        <v>Admin can Add/Update/Delete/View Doctors 
User list doctors/Search/Rate/book appointment</v>
      </c>
    </row>
    <row r="51" spans="1:10" hidden="1" x14ac:dyDescent="0.3">
      <c r="A51" s="10">
        <v>17</v>
      </c>
      <c r="B51" s="10">
        <v>249547</v>
      </c>
      <c r="C51" s="10" t="s">
        <v>33</v>
      </c>
      <c r="D51" s="10" t="s">
        <v>34</v>
      </c>
      <c r="E51" s="10" t="s">
        <v>152</v>
      </c>
      <c r="F51" s="20" t="s">
        <v>147</v>
      </c>
      <c r="G51" s="10" t="s">
        <v>2</v>
      </c>
      <c r="H51" s="4" t="s">
        <v>163</v>
      </c>
      <c r="I51" s="1"/>
    </row>
    <row r="52" spans="1:10" hidden="1" x14ac:dyDescent="0.3">
      <c r="A52" s="10">
        <v>17</v>
      </c>
      <c r="B52" s="10">
        <v>248737</v>
      </c>
      <c r="C52" s="10" t="s">
        <v>73</v>
      </c>
      <c r="D52" s="10" t="s">
        <v>74</v>
      </c>
      <c r="E52" s="10" t="s">
        <v>152</v>
      </c>
      <c r="F52" s="20" t="s">
        <v>147</v>
      </c>
      <c r="G52" s="10" t="s">
        <v>2</v>
      </c>
      <c r="H52" s="4" t="s">
        <v>163</v>
      </c>
      <c r="I52" s="1"/>
    </row>
    <row r="53" spans="1:10" x14ac:dyDescent="0.3">
      <c r="A53" s="21">
        <v>18</v>
      </c>
      <c r="B53" s="21">
        <v>248722</v>
      </c>
      <c r="C53" s="21" t="s">
        <v>17</v>
      </c>
      <c r="D53" s="21" t="s">
        <v>18</v>
      </c>
      <c r="E53" s="21" t="s">
        <v>152</v>
      </c>
      <c r="F53" s="22" t="s">
        <v>148</v>
      </c>
      <c r="G53" s="21" t="s">
        <v>2</v>
      </c>
      <c r="H53" s="23" t="s">
        <v>165</v>
      </c>
      <c r="I53" s="24" t="str">
        <f>VLOOKUP(H53,'Trainer Alocation to projects'!B:C,2,0)</f>
        <v xml:space="preserve"> The program will accept the course and booking for a course 
Admin can Add/View/Update/Delete the course details​
User can view courses, search course, rate and register for the course​</v>
      </c>
      <c r="J53" s="25" t="s">
        <v>209</v>
      </c>
    </row>
    <row r="54" spans="1:10" x14ac:dyDescent="0.3">
      <c r="A54" s="21">
        <v>18</v>
      </c>
      <c r="B54" s="21">
        <v>248774</v>
      </c>
      <c r="C54" s="21" t="s">
        <v>31</v>
      </c>
      <c r="D54" s="21" t="s">
        <v>32</v>
      </c>
      <c r="E54" s="21" t="s">
        <v>152</v>
      </c>
      <c r="F54" s="22" t="s">
        <v>148</v>
      </c>
      <c r="G54" s="21" t="s">
        <v>2</v>
      </c>
      <c r="H54" s="23" t="s">
        <v>165</v>
      </c>
      <c r="I54" s="24"/>
      <c r="J54" s="25" t="s">
        <v>209</v>
      </c>
    </row>
    <row r="55" spans="1:10" x14ac:dyDescent="0.3">
      <c r="A55" s="21">
        <v>18</v>
      </c>
      <c r="B55" s="21">
        <v>248777</v>
      </c>
      <c r="C55" s="21" t="s">
        <v>39</v>
      </c>
      <c r="D55" s="21" t="s">
        <v>40</v>
      </c>
      <c r="E55" s="21" t="s">
        <v>152</v>
      </c>
      <c r="F55" s="22" t="s">
        <v>148</v>
      </c>
      <c r="G55" s="21" t="s">
        <v>2</v>
      </c>
      <c r="H55" s="23" t="s">
        <v>165</v>
      </c>
      <c r="I55" s="24"/>
      <c r="J55" s="25" t="s">
        <v>209</v>
      </c>
    </row>
    <row r="56" spans="1:10" hidden="1" x14ac:dyDescent="0.3">
      <c r="A56" s="10">
        <v>19</v>
      </c>
      <c r="B56" s="10">
        <v>248784</v>
      </c>
      <c r="C56" s="10" t="s">
        <v>21</v>
      </c>
      <c r="D56" s="10" t="s">
        <v>22</v>
      </c>
      <c r="E56" s="10" t="s">
        <v>153</v>
      </c>
      <c r="F56" s="20" t="s">
        <v>149</v>
      </c>
      <c r="G56" s="10" t="s">
        <v>2</v>
      </c>
      <c r="H56" s="4" t="s">
        <v>166</v>
      </c>
      <c r="I56" s="1" t="str">
        <f>VLOOKUP(H56,'Trainer Alocation to projects'!B:C,2,0)</f>
        <v>1. The program will accept the Bus &amp; Booking Details from the console​
2. Admin can Add/View/Update/Delete Bus details​ and number of tickects available for a specific date. 
Make an Assumption when bus is created, auto create tickets for next 3 days
3. User can Book/View/Cancel the tickets/ search bus</v>
      </c>
    </row>
    <row r="57" spans="1:10" hidden="1" x14ac:dyDescent="0.3">
      <c r="A57" s="10">
        <v>19</v>
      </c>
      <c r="B57" s="10">
        <v>248822</v>
      </c>
      <c r="C57" s="10" t="s">
        <v>29</v>
      </c>
      <c r="D57" s="10" t="s">
        <v>30</v>
      </c>
      <c r="E57" s="10" t="s">
        <v>153</v>
      </c>
      <c r="F57" s="20" t="s">
        <v>149</v>
      </c>
      <c r="G57" s="10" t="s">
        <v>2</v>
      </c>
      <c r="H57" s="4" t="s">
        <v>166</v>
      </c>
      <c r="I57" s="1"/>
    </row>
    <row r="58" spans="1:10" hidden="1" x14ac:dyDescent="0.3">
      <c r="A58" s="10">
        <v>19</v>
      </c>
      <c r="B58" s="10">
        <v>248862</v>
      </c>
      <c r="C58" s="10" t="s">
        <v>63</v>
      </c>
      <c r="D58" s="10" t="s">
        <v>64</v>
      </c>
      <c r="E58" s="10" t="s">
        <v>153</v>
      </c>
      <c r="F58" s="20" t="s">
        <v>149</v>
      </c>
      <c r="G58" s="10" t="s">
        <v>2</v>
      </c>
      <c r="H58" s="4" t="s">
        <v>166</v>
      </c>
      <c r="I58" s="1"/>
    </row>
    <row r="59" spans="1:10" x14ac:dyDescent="0.3">
      <c r="A59" s="21">
        <v>20</v>
      </c>
      <c r="B59" s="21">
        <v>248762</v>
      </c>
      <c r="C59" s="21" t="s">
        <v>23</v>
      </c>
      <c r="D59" s="21" t="s">
        <v>24</v>
      </c>
      <c r="E59" s="21" t="s">
        <v>153</v>
      </c>
      <c r="F59" s="22" t="s">
        <v>150</v>
      </c>
      <c r="G59" s="21" t="s">
        <v>2</v>
      </c>
      <c r="H59" s="23" t="s">
        <v>167</v>
      </c>
      <c r="I59" s="24" t="str">
        <f>VLOOKUP(H59,'Trainer Alocation to projects'!B:C,2,0)</f>
        <v>Admin-can add/update/list/ delete  project and task​
user can see the task assigned to him/search task/ update status/ add comments.</v>
      </c>
      <c r="J59" s="25" t="s">
        <v>209</v>
      </c>
    </row>
    <row r="60" spans="1:10" x14ac:dyDescent="0.3">
      <c r="A60" s="21">
        <v>20</v>
      </c>
      <c r="B60" s="21">
        <v>249389</v>
      </c>
      <c r="C60" s="21" t="s">
        <v>27</v>
      </c>
      <c r="D60" s="21" t="s">
        <v>28</v>
      </c>
      <c r="E60" s="21" t="s">
        <v>153</v>
      </c>
      <c r="F60" s="22" t="s">
        <v>150</v>
      </c>
      <c r="G60" s="21" t="s">
        <v>2</v>
      </c>
      <c r="H60" s="23" t="s">
        <v>167</v>
      </c>
      <c r="I60" s="24"/>
      <c r="J60" s="25" t="s">
        <v>209</v>
      </c>
    </row>
    <row r="61" spans="1:10" x14ac:dyDescent="0.3">
      <c r="A61" s="21">
        <v>20</v>
      </c>
      <c r="B61" s="21">
        <v>248875</v>
      </c>
      <c r="C61" s="21" t="s">
        <v>101</v>
      </c>
      <c r="D61" s="21" t="s">
        <v>102</v>
      </c>
      <c r="E61" s="21" t="s">
        <v>153</v>
      </c>
      <c r="F61" s="22" t="s">
        <v>150</v>
      </c>
      <c r="G61" s="21" t="s">
        <v>2</v>
      </c>
      <c r="H61" s="23" t="s">
        <v>167</v>
      </c>
      <c r="I61" s="24"/>
      <c r="J61" s="25" t="s">
        <v>209</v>
      </c>
    </row>
    <row r="62" spans="1:10" hidden="1" x14ac:dyDescent="0.3">
      <c r="A62" s="10">
        <v>21</v>
      </c>
      <c r="B62" s="10">
        <v>248832</v>
      </c>
      <c r="C62" s="10" t="s">
        <v>25</v>
      </c>
      <c r="D62" s="10" t="s">
        <v>26</v>
      </c>
      <c r="E62" s="10" t="s">
        <v>153</v>
      </c>
      <c r="F62" s="20" t="s">
        <v>151</v>
      </c>
      <c r="G62" s="10" t="s">
        <v>2</v>
      </c>
      <c r="H62" s="4" t="s">
        <v>169</v>
      </c>
      <c r="I62" s="1" t="str">
        <f>VLOOKUP(H62,'Trainer Alocation to projects'!B:C,2,0)</f>
        <v>Admin can do crud on the Products details.​
User can view the products ,add products to the cart and delete the product from the cart and rate product</v>
      </c>
    </row>
    <row r="63" spans="1:10" hidden="1" x14ac:dyDescent="0.3">
      <c r="A63" s="10">
        <v>21</v>
      </c>
      <c r="B63" s="10">
        <v>249403</v>
      </c>
      <c r="C63" s="10" t="s">
        <v>43</v>
      </c>
      <c r="D63" s="10" t="s">
        <v>44</v>
      </c>
      <c r="E63" s="10" t="s">
        <v>153</v>
      </c>
      <c r="F63" s="20" t="s">
        <v>151</v>
      </c>
      <c r="G63" s="10" t="s">
        <v>2</v>
      </c>
      <c r="H63" s="4" t="s">
        <v>169</v>
      </c>
      <c r="I63" s="1"/>
    </row>
    <row r="64" spans="1:10" hidden="1" x14ac:dyDescent="0.3">
      <c r="A64" s="10">
        <v>21</v>
      </c>
      <c r="B64" s="10">
        <v>248859</v>
      </c>
      <c r="C64" s="10" t="s">
        <v>71</v>
      </c>
      <c r="D64" s="10" t="s">
        <v>72</v>
      </c>
      <c r="E64" s="10" t="s">
        <v>153</v>
      </c>
      <c r="F64" s="20" t="s">
        <v>151</v>
      </c>
      <c r="G64" s="10" t="s">
        <v>2</v>
      </c>
      <c r="H64" s="4" t="s">
        <v>169</v>
      </c>
      <c r="I64" s="1"/>
    </row>
    <row r="67" spans="8:8" x14ac:dyDescent="0.3">
      <c r="H67" s="4"/>
    </row>
    <row r="70" spans="8:8" x14ac:dyDescent="0.3">
      <c r="H70" s="4"/>
    </row>
    <row r="73" spans="8:8" x14ac:dyDescent="0.3">
      <c r="H73" s="4"/>
    </row>
    <row r="74" spans="8:8" x14ac:dyDescent="0.3">
      <c r="H74" s="4"/>
    </row>
    <row r="76" spans="8:8" x14ac:dyDescent="0.3">
      <c r="H76" s="4"/>
    </row>
  </sheetData>
  <autoFilter ref="A1:J64" xr:uid="{045786C5-3FA0-454F-9CC5-B0DAD19770E5}">
    <filterColumn colId="9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E111-1C0F-4A96-9FD2-A746B422C8A8}">
  <dimension ref="A1:C17"/>
  <sheetViews>
    <sheetView workbookViewId="0">
      <selection activeCell="B4" sqref="B4"/>
    </sheetView>
  </sheetViews>
  <sheetFormatPr defaultRowHeight="14.4" x14ac:dyDescent="0.3"/>
  <cols>
    <col min="1" max="1" width="12.33203125" bestFit="1" customWidth="1"/>
    <col min="2" max="2" width="37.77734375" bestFit="1" customWidth="1"/>
    <col min="3" max="3" width="116.5546875" customWidth="1"/>
  </cols>
  <sheetData>
    <row r="1" spans="1:3" x14ac:dyDescent="0.3">
      <c r="A1" s="2" t="s">
        <v>155</v>
      </c>
      <c r="B1" s="2" t="s">
        <v>156</v>
      </c>
      <c r="C1" s="2" t="s">
        <v>157</v>
      </c>
    </row>
    <row r="2" spans="1:3" ht="28.8" x14ac:dyDescent="0.3">
      <c r="A2" s="3" t="s">
        <v>189</v>
      </c>
      <c r="B2" s="4" t="s">
        <v>158</v>
      </c>
      <c r="C2" s="5" t="s">
        <v>181</v>
      </c>
    </row>
    <row r="3" spans="1:3" ht="28.8" x14ac:dyDescent="0.3">
      <c r="A3" s="3" t="s">
        <v>190</v>
      </c>
      <c r="B3" s="4" t="s">
        <v>159</v>
      </c>
      <c r="C3" s="5" t="s">
        <v>160</v>
      </c>
    </row>
    <row r="4" spans="1:3" ht="28.8" x14ac:dyDescent="0.3">
      <c r="A4" s="3" t="s">
        <v>189</v>
      </c>
      <c r="B4" s="4" t="s">
        <v>161</v>
      </c>
      <c r="C4" s="5" t="s">
        <v>162</v>
      </c>
    </row>
    <row r="5" spans="1:3" ht="28.8" x14ac:dyDescent="0.3">
      <c r="A5" s="3" t="s">
        <v>190</v>
      </c>
      <c r="B5" s="4" t="s">
        <v>163</v>
      </c>
      <c r="C5" s="5" t="s">
        <v>164</v>
      </c>
    </row>
    <row r="6" spans="1:3" ht="43.2" x14ac:dyDescent="0.3">
      <c r="A6" s="3" t="s">
        <v>189</v>
      </c>
      <c r="B6" s="4" t="s">
        <v>165</v>
      </c>
      <c r="C6" s="5" t="s">
        <v>182</v>
      </c>
    </row>
    <row r="7" spans="1:3" ht="57.6" x14ac:dyDescent="0.3">
      <c r="A7" s="3" t="s">
        <v>190</v>
      </c>
      <c r="B7" s="4" t="s">
        <v>166</v>
      </c>
      <c r="C7" s="5" t="s">
        <v>183</v>
      </c>
    </row>
    <row r="8" spans="1:3" ht="28.8" x14ac:dyDescent="0.3">
      <c r="A8" s="3" t="s">
        <v>189</v>
      </c>
      <c r="B8" s="4" t="s">
        <v>167</v>
      </c>
      <c r="C8" s="5" t="s">
        <v>168</v>
      </c>
    </row>
    <row r="9" spans="1:3" ht="28.8" x14ac:dyDescent="0.3">
      <c r="A9" s="3" t="s">
        <v>190</v>
      </c>
      <c r="B9" s="4" t="s">
        <v>169</v>
      </c>
      <c r="C9" s="5" t="s">
        <v>170</v>
      </c>
    </row>
    <row r="10" spans="1:3" ht="43.2" x14ac:dyDescent="0.3">
      <c r="A10" s="3" t="s">
        <v>189</v>
      </c>
      <c r="B10" s="4" t="s">
        <v>184</v>
      </c>
      <c r="C10" s="5" t="s">
        <v>171</v>
      </c>
    </row>
    <row r="11" spans="1:3" ht="43.2" x14ac:dyDescent="0.3">
      <c r="A11" s="3" t="s">
        <v>190</v>
      </c>
      <c r="B11" s="4" t="s">
        <v>172</v>
      </c>
      <c r="C11" s="5" t="s">
        <v>173</v>
      </c>
    </row>
    <row r="12" spans="1:3" ht="28.8" x14ac:dyDescent="0.3">
      <c r="A12" s="3" t="s">
        <v>189</v>
      </c>
      <c r="B12" s="4" t="s">
        <v>174</v>
      </c>
      <c r="C12" s="5" t="s">
        <v>175</v>
      </c>
    </row>
    <row r="13" spans="1:3" ht="57.6" x14ac:dyDescent="0.3">
      <c r="A13" s="3" t="s">
        <v>190</v>
      </c>
      <c r="B13" s="4" t="s">
        <v>176</v>
      </c>
      <c r="C13" s="5" t="s">
        <v>185</v>
      </c>
    </row>
    <row r="14" spans="1:3" ht="57.6" x14ac:dyDescent="0.3">
      <c r="A14" s="3" t="s">
        <v>189</v>
      </c>
      <c r="B14" s="4" t="s">
        <v>177</v>
      </c>
      <c r="C14" s="5" t="s">
        <v>186</v>
      </c>
    </row>
    <row r="15" spans="1:3" ht="28.8" x14ac:dyDescent="0.3">
      <c r="A15" s="3" t="s">
        <v>190</v>
      </c>
      <c r="B15" s="4" t="s">
        <v>178</v>
      </c>
      <c r="C15" s="5" t="s">
        <v>187</v>
      </c>
    </row>
    <row r="16" spans="1:3" ht="72" x14ac:dyDescent="0.3">
      <c r="A16" s="3"/>
      <c r="B16" s="6" t="s">
        <v>179</v>
      </c>
      <c r="C16" s="7" t="s">
        <v>180</v>
      </c>
    </row>
    <row r="17" spans="1:1" x14ac:dyDescent="0.3">
      <c r="A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47E6-B433-4A99-BA12-F3C635D6BE01}">
  <dimension ref="A1:D10"/>
  <sheetViews>
    <sheetView workbookViewId="0">
      <selection activeCell="D4" sqref="D4"/>
    </sheetView>
  </sheetViews>
  <sheetFormatPr defaultRowHeight="14.4" x14ac:dyDescent="0.3"/>
  <cols>
    <col min="1" max="1" width="6.21875" bestFit="1" customWidth="1"/>
    <col min="2" max="2" width="43.6640625" bestFit="1" customWidth="1"/>
    <col min="3" max="3" width="15.109375" bestFit="1" customWidth="1"/>
    <col min="4" max="4" width="11.21875" bestFit="1" customWidth="1"/>
  </cols>
  <sheetData>
    <row r="1" spans="1:4" ht="15" thickBot="1" x14ac:dyDescent="0.35">
      <c r="A1" s="13" t="s">
        <v>191</v>
      </c>
      <c r="B1" s="14" t="s">
        <v>192</v>
      </c>
      <c r="C1" s="14" t="s">
        <v>193</v>
      </c>
      <c r="D1" s="14" t="s">
        <v>194</v>
      </c>
    </row>
    <row r="2" spans="1:4" ht="15" thickBot="1" x14ac:dyDescent="0.35">
      <c r="A2" s="15">
        <v>1</v>
      </c>
      <c r="B2" s="16" t="s">
        <v>195</v>
      </c>
      <c r="C2" s="16" t="s">
        <v>196</v>
      </c>
      <c r="D2" s="16" t="s">
        <v>197</v>
      </c>
    </row>
    <row r="3" spans="1:4" ht="15" thickBot="1" x14ac:dyDescent="0.35">
      <c r="A3" s="15">
        <v>2</v>
      </c>
      <c r="B3" s="17" t="s">
        <v>198</v>
      </c>
      <c r="C3" s="16" t="s">
        <v>196</v>
      </c>
      <c r="D3" s="16" t="s">
        <v>199</v>
      </c>
    </row>
    <row r="4" spans="1:4" ht="15" thickBot="1" x14ac:dyDescent="0.35">
      <c r="A4" s="15">
        <v>3</v>
      </c>
      <c r="B4" s="17" t="s">
        <v>200</v>
      </c>
      <c r="C4" s="16" t="s">
        <v>196</v>
      </c>
      <c r="D4" s="16" t="s">
        <v>197</v>
      </c>
    </row>
    <row r="5" spans="1:4" ht="15" thickBot="1" x14ac:dyDescent="0.35">
      <c r="A5" s="15">
        <v>4</v>
      </c>
      <c r="B5" s="17" t="s">
        <v>201</v>
      </c>
      <c r="C5" s="16" t="s">
        <v>196</v>
      </c>
      <c r="D5" s="16" t="s">
        <v>197</v>
      </c>
    </row>
    <row r="6" spans="1:4" ht="15" thickBot="1" x14ac:dyDescent="0.35">
      <c r="A6" s="15">
        <v>5</v>
      </c>
      <c r="B6" s="17" t="s">
        <v>202</v>
      </c>
      <c r="C6" s="16" t="s">
        <v>203</v>
      </c>
      <c r="D6" s="16" t="s">
        <v>197</v>
      </c>
    </row>
    <row r="7" spans="1:4" ht="15" thickBot="1" x14ac:dyDescent="0.35">
      <c r="A7" s="15">
        <v>6</v>
      </c>
      <c r="B7" s="17" t="s">
        <v>204</v>
      </c>
      <c r="C7" s="16" t="s">
        <v>196</v>
      </c>
      <c r="D7" s="16" t="s">
        <v>197</v>
      </c>
    </row>
    <row r="8" spans="1:4" ht="15" thickBot="1" x14ac:dyDescent="0.35">
      <c r="A8" s="15">
        <v>7</v>
      </c>
      <c r="B8" s="17" t="s">
        <v>205</v>
      </c>
      <c r="C8" s="16" t="s">
        <v>203</v>
      </c>
      <c r="D8" s="16" t="s">
        <v>199</v>
      </c>
    </row>
    <row r="9" spans="1:4" ht="15" thickBot="1" x14ac:dyDescent="0.35">
      <c r="A9" s="15">
        <v>8</v>
      </c>
      <c r="B9" s="17" t="s">
        <v>206</v>
      </c>
      <c r="C9" s="16" t="s">
        <v>196</v>
      </c>
      <c r="D9" s="16" t="s">
        <v>199</v>
      </c>
    </row>
    <row r="10" spans="1:4" x14ac:dyDescent="0.3">
      <c r="A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Batch with projects</vt:lpstr>
      <vt:lpstr>Trainer Alocation to projects</vt:lpstr>
      <vt:lpstr>deliveberals for Foundation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Agarwal(UST,IN)</dc:creator>
  <cp:lastModifiedBy>Jagadees waran</cp:lastModifiedBy>
  <dcterms:created xsi:type="dcterms:W3CDTF">2023-06-14T07:41:51Z</dcterms:created>
  <dcterms:modified xsi:type="dcterms:W3CDTF">2023-06-21T09:52:26Z</dcterms:modified>
</cp:coreProperties>
</file>